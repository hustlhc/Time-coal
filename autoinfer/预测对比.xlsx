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10" fontId="0" fillId="0" borderId="0" applyAlignment="1" pivotButton="0" quotePrefix="0" xfId="0">
      <alignment vertical="center" wrapText="1"/>
    </xf>
    <xf numFmtId="1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tabSelected="1" topLeftCell="A8" workbookViewId="0">
      <selection activeCell="J23" sqref="J23"/>
    </sheetView>
  </sheetViews>
  <sheetFormatPr baseColWidth="8" defaultColWidth="9" defaultRowHeight="14.25"/>
  <cols>
    <col width="13.625" customWidth="1" style="1" min="1" max="1"/>
    <col width="18.5" customWidth="1" style="7" min="2" max="2"/>
    <col width="19.125" customWidth="1" style="7" min="3" max="3"/>
    <col width="17.75" customWidth="1" style="7" min="4" max="4"/>
    <col width="18.625" customWidth="1" style="3" min="5" max="5"/>
    <col width="13.75" customWidth="1" style="3" min="6" max="6"/>
  </cols>
  <sheetData>
    <row r="1" ht="46.5" customHeight="1" s="1">
      <c r="B1" s="7" t="inlineStr">
        <is>
          <t>CCI价格指数</t>
        </is>
      </c>
      <c r="C1" s="8" t="inlineStr">
        <is>
          <t>2月26日预测价格</t>
        </is>
      </c>
      <c r="D1" s="8" t="inlineStr">
        <is>
          <t>每周修正预测价格</t>
        </is>
      </c>
      <c r="E1" s="5" t="inlineStr">
        <is>
          <t>8周前预测价格偏差率</t>
        </is>
      </c>
      <c r="F1" s="5" t="inlineStr">
        <is>
          <t>每周修正预测价格偏差率</t>
        </is>
      </c>
    </row>
    <row r="2">
      <c r="A2" s="6" t="n">
        <v>46079</v>
      </c>
      <c r="B2" s="7" t="n">
        <v>519.37</v>
      </c>
      <c r="C2" s="7" t="n">
        <v>517.630392326254</v>
      </c>
      <c r="D2" s="7" t="n">
        <v>517.630392326254</v>
      </c>
      <c r="E2" s="3">
        <f>ABS(C2-B2)/B2</f>
        <v/>
      </c>
      <c r="F2" s="3">
        <f>ABS(D2-B2)/B2</f>
        <v/>
      </c>
    </row>
    <row r="3">
      <c r="A3" s="6" t="n">
        <v>46080</v>
      </c>
      <c r="B3" s="7" t="n">
        <v>524.01</v>
      </c>
      <c r="C3" s="7" t="n">
        <v>519.141774064072</v>
      </c>
      <c r="D3" s="7" t="n">
        <v>519.141774064072</v>
      </c>
      <c r="E3" s="3">
        <f>ABS(C3-B3)/B3</f>
        <v/>
      </c>
      <c r="F3" s="3">
        <f>ABS(D3-B3)/B3</f>
        <v/>
      </c>
    </row>
    <row r="4">
      <c r="A4" s="6" t="n">
        <v>46081</v>
      </c>
      <c r="B4" s="7" t="n">
        <v>524.01</v>
      </c>
      <c r="C4" s="7" t="n">
        <v>520.476282231805</v>
      </c>
      <c r="D4" s="7" t="n">
        <v>520.476282231805</v>
      </c>
      <c r="E4" s="3">
        <f>ABS(C4-B4)/B4</f>
        <v/>
      </c>
      <c r="F4" s="3">
        <f>ABS(D4-B4)/B4</f>
        <v/>
      </c>
    </row>
    <row r="5">
      <c r="A5" s="6" t="n">
        <v>46083</v>
      </c>
      <c r="B5" s="7" t="n">
        <v>534.09</v>
      </c>
      <c r="C5" s="7" t="n">
        <v>521.633916829455</v>
      </c>
      <c r="D5" s="7" t="n">
        <v>521.633916829455</v>
      </c>
      <c r="E5" s="3">
        <f>ABS(C5-B5)/B5</f>
        <v/>
      </c>
      <c r="F5" s="3">
        <f>ABS(D5-B5)/B5</f>
        <v/>
      </c>
    </row>
    <row r="6">
      <c r="A6" s="6" t="n">
        <v>46084</v>
      </c>
      <c r="B6" s="7" t="n">
        <v>539.55</v>
      </c>
      <c r="C6" s="7" t="n">
        <v>522.614677857019</v>
      </c>
      <c r="D6" s="7" t="n">
        <v>522.614677857019</v>
      </c>
      <c r="E6" s="3">
        <f>ABS(C6-B6)/B6</f>
        <v/>
      </c>
      <c r="F6" s="3">
        <f>ABS(D6-B6)/B6</f>
        <v/>
      </c>
    </row>
    <row r="7">
      <c r="A7" s="6" t="n">
        <v>46085</v>
      </c>
      <c r="B7" s="7" t="n">
        <v>541.9</v>
      </c>
      <c r="C7" s="7" t="n">
        <v>524.101507340521</v>
      </c>
      <c r="D7" s="7" t="n">
        <v>524.101507340521</v>
      </c>
      <c r="E7" s="3">
        <f>ABS(C7-B7)/B7</f>
        <v/>
      </c>
      <c r="F7" s="3">
        <f>ABS(D7-B7)/B7</f>
        <v/>
      </c>
    </row>
    <row r="8">
      <c r="A8" s="6" t="n">
        <v>46086</v>
      </c>
      <c r="B8" s="7" t="n">
        <v>541.12</v>
      </c>
      <c r="C8" s="7" t="n">
        <v>522.410723650257</v>
      </c>
      <c r="D8" s="7" t="n">
        <v>542.4256832790149</v>
      </c>
      <c r="E8" s="3">
        <f>ABS(C8-B8)/B8</f>
        <v/>
      </c>
      <c r="F8" s="3">
        <f>ABS(D8-B8)/B8</f>
        <v/>
      </c>
    </row>
    <row r="9">
      <c r="A9" s="6" t="n">
        <v>46087</v>
      </c>
      <c r="B9" s="7" t="n">
        <v>540.33</v>
      </c>
      <c r="C9" s="7" t="n">
        <v>523.977120564631</v>
      </c>
      <c r="D9" s="7" t="n">
        <v>542.082960676861</v>
      </c>
      <c r="E9" s="3">
        <f>ABS(C9-B9)/B9</f>
        <v/>
      </c>
      <c r="F9" s="3">
        <f>ABS(D9-B9)/B9</f>
        <v/>
      </c>
    </row>
    <row r="10">
      <c r="A10" s="6" t="n">
        <v>46090</v>
      </c>
      <c r="B10" s="7" t="n">
        <v>548.16</v>
      </c>
      <c r="C10" s="7" t="n">
        <v>523.1876981938969</v>
      </c>
      <c r="D10" s="7" t="n">
        <v>542.306355052558</v>
      </c>
      <c r="E10" s="3">
        <f>ABS(C10-B10)/B10</f>
        <v/>
      </c>
      <c r="F10" s="3">
        <f>ABS(D10-B10)/B10</f>
        <v/>
      </c>
    </row>
    <row r="11">
      <c r="A11" s="6" t="n">
        <v>46091</v>
      </c>
      <c r="B11" s="7" t="n">
        <v>545</v>
      </c>
      <c r="C11" s="7" t="n">
        <v>524.934256926118</v>
      </c>
      <c r="D11" s="7" t="n">
        <v>543.095866406107</v>
      </c>
      <c r="E11" s="3">
        <f>ABS(C11-B11)/B11</f>
        <v/>
      </c>
      <c r="F11" s="3">
        <f>ABS(D11-B11)/B11</f>
        <v/>
      </c>
    </row>
    <row r="12">
      <c r="A12" s="6" t="n">
        <v>46092</v>
      </c>
      <c r="B12" s="7" t="n">
        <v>545</v>
      </c>
      <c r="C12" s="7" t="n">
        <v>525.4335902045329</v>
      </c>
      <c r="D12" s="7" t="n">
        <v>544.451494737506</v>
      </c>
      <c r="E12" s="3">
        <f>ABS(C12-B12)/B12</f>
        <v/>
      </c>
      <c r="F12" s="3">
        <f>ABS(D12-B12)/B12</f>
        <v/>
      </c>
    </row>
    <row r="13">
      <c r="A13" s="6" t="n">
        <v>46093</v>
      </c>
      <c r="B13" s="7" t="n">
        <v>545</v>
      </c>
      <c r="C13" s="7" t="n">
        <v>522.921231692174</v>
      </c>
      <c r="D13" s="7" t="n">
        <v>542.5950362702119</v>
      </c>
      <c r="E13" s="3">
        <f>ABS(C13-B13)/B13</f>
        <v/>
      </c>
      <c r="F13" s="3">
        <f>ABS(D13-B13)/B13</f>
        <v/>
      </c>
    </row>
    <row r="14">
      <c r="A14" s="6" t="n">
        <v>46094</v>
      </c>
      <c r="B14" s="7" t="n">
        <v>547.37</v>
      </c>
      <c r="C14" s="7" t="n">
        <v>523.60286922898</v>
      </c>
      <c r="D14" s="7" t="n">
        <v>546.415767230968</v>
      </c>
      <c r="E14" s="3">
        <f>ABS(C14-B14)/B14</f>
        <v/>
      </c>
      <c r="F14" s="3">
        <f>ABS(D14-B14)/B14</f>
        <v/>
      </c>
    </row>
    <row r="15">
      <c r="A15" s="6" t="n">
        <v>46097</v>
      </c>
      <c r="B15" s="7" t="n">
        <v>547.37</v>
      </c>
      <c r="C15" s="7" t="n">
        <v>522.230289281443</v>
      </c>
      <c r="D15" s="7" t="n">
        <v>551.279720580412</v>
      </c>
      <c r="E15" s="3">
        <f>ABS(C15-B15)/B15</f>
        <v/>
      </c>
      <c r="F15" s="3">
        <f>ABS(D15-B15)/B15</f>
        <v/>
      </c>
    </row>
    <row r="16">
      <c r="A16" s="6" t="n">
        <v>46098</v>
      </c>
      <c r="B16" s="7" t="n">
        <v>545.79</v>
      </c>
      <c r="C16" s="7" t="n">
        <v>519.1831292017609</v>
      </c>
      <c r="D16" s="7" t="n">
        <v>557.186896318542</v>
      </c>
      <c r="E16" s="3">
        <f>ABS(C16-B16)/B16</f>
        <v/>
      </c>
      <c r="F16" s="3">
        <f>ABS(D16-B16)/B16</f>
        <v/>
      </c>
    </row>
    <row r="17">
      <c r="A17" s="6" t="n">
        <v>46099</v>
      </c>
      <c r="B17" s="7" t="n">
        <v>545</v>
      </c>
      <c r="C17" s="7" t="n">
        <v>517.807648404375</v>
      </c>
      <c r="D17" s="7" t="n">
        <v>564.137294445358</v>
      </c>
      <c r="E17" s="3">
        <f>ABS(C17-B17)/B17</f>
        <v/>
      </c>
      <c r="F17" s="3">
        <f>ABS(D17-B17)/B17</f>
        <v/>
      </c>
    </row>
    <row r="18">
      <c r="A18" s="6" t="n">
        <v>46100</v>
      </c>
      <c r="B18" s="7" t="n">
        <v>547.37</v>
      </c>
      <c r="C18" s="7" t="n">
        <v>515.118629118581</v>
      </c>
      <c r="D18" s="7" t="n">
        <v>554.911065112935</v>
      </c>
      <c r="E18" s="3">
        <f>ABS(C18-B18)/B18</f>
        <v/>
      </c>
      <c r="F18" s="3">
        <f>ABS(D18-B18)/B18</f>
        <v/>
      </c>
    </row>
    <row r="19">
      <c r="A19" s="6" t="n">
        <v>46101</v>
      </c>
      <c r="B19" s="7" t="n">
        <v>547.37</v>
      </c>
      <c r="C19" s="7" t="n">
        <v>515.234156477621</v>
      </c>
      <c r="D19" s="7" t="n">
        <v>549.449039555026</v>
      </c>
      <c r="E19" s="3">
        <f>ABS(C19-B19)/B19</f>
        <v/>
      </c>
      <c r="F19" s="3">
        <f>ABS(D19-B19)/B19</f>
        <v/>
      </c>
    </row>
    <row r="20">
      <c r="A20" s="6" t="n">
        <v>46104</v>
      </c>
      <c r="B20" s="7" t="n">
        <v>546.58</v>
      </c>
      <c r="C20" s="7" t="n">
        <v>515.535008236206</v>
      </c>
      <c r="D20" s="7" t="n">
        <v>546.042335774207</v>
      </c>
      <c r="E20" s="3">
        <f>ABS(C20-B20)/B20</f>
        <v/>
      </c>
      <c r="F20" s="3">
        <f>ABS(D20-B20)/B20</f>
        <v/>
      </c>
    </row>
    <row r="21">
      <c r="A21" s="6" t="n">
        <v>46105</v>
      </c>
      <c r="B21" s="7" t="n">
        <v>546.58</v>
      </c>
      <c r="C21" s="7" t="n">
        <v>514.4454874089849</v>
      </c>
      <c r="D21" s="7" t="n">
        <v>544.690953770479</v>
      </c>
      <c r="E21" s="3">
        <f>ABS(C21-B21)/B21</f>
        <v/>
      </c>
      <c r="F21" s="3">
        <f>ABS(D21-B21)/B21</f>
        <v/>
      </c>
    </row>
    <row r="22">
      <c r="A22" s="6" t="n">
        <v>46106</v>
      </c>
      <c r="C22" s="7" t="n">
        <v>514.51972967513</v>
      </c>
      <c r="E22" s="3">
        <f>ABS(C22-B22)/B22</f>
        <v/>
      </c>
      <c r="F22" s="3">
        <f>ABS(#REF!-B22)/B22</f>
        <v/>
      </c>
    </row>
    <row r="23">
      <c r="A23" s="6" t="n">
        <v>46107</v>
      </c>
      <c r="C23" s="7" t="n">
        <v>513.217829597646</v>
      </c>
      <c r="D23" s="9" t="n">
        <v>542.6966143714764</v>
      </c>
      <c r="E23" s="3">
        <f>ABS(C23-B23)/B23</f>
        <v/>
      </c>
      <c r="F23" s="3">
        <f>ABS(#REF!-B23)/B23</f>
        <v/>
      </c>
    </row>
    <row r="24">
      <c r="A24" s="6" t="n">
        <v>46108</v>
      </c>
      <c r="C24" s="7" t="n">
        <v>511.251568206977</v>
      </c>
      <c r="D24" s="9" t="n">
        <v>542.5831830879978</v>
      </c>
      <c r="E24" s="3">
        <f>ABS(C24-B24)/B24</f>
        <v/>
      </c>
      <c r="F24" s="3">
        <f>ABS(#REF!-B24)/B24</f>
        <v/>
      </c>
    </row>
    <row r="25">
      <c r="A25" s="6" t="n">
        <v>46111</v>
      </c>
      <c r="C25" s="7" t="n">
        <v>510.032855178902</v>
      </c>
      <c r="D25" s="9" t="n">
        <v>543.4484354250659</v>
      </c>
      <c r="E25" s="3">
        <f>ABS(C25-B25)/B25</f>
        <v/>
      </c>
      <c r="F25" s="3">
        <f>ABS(#REF!-B25)/B25</f>
        <v/>
      </c>
    </row>
    <row r="26">
      <c r="A26" s="6" t="n">
        <v>46112</v>
      </c>
      <c r="C26" s="7" t="n">
        <v>506.868097343848</v>
      </c>
      <c r="D26" s="9" t="n">
        <v>545.2923713826805</v>
      </c>
      <c r="E26" s="3">
        <f>ABS(C26-B26)/B26</f>
        <v/>
      </c>
      <c r="F26" s="3">
        <f>ABS(#REF!-B26)/B26</f>
        <v/>
      </c>
    </row>
    <row r="27">
      <c r="A27" s="6" t="n">
        <v>46113</v>
      </c>
      <c r="C27" s="7" t="n">
        <v>506.01110584823</v>
      </c>
      <c r="D27" s="9" t="n">
        <v>548.1149909608412</v>
      </c>
      <c r="E27" s="3">
        <f>ABS(C27-B27)/B27</f>
        <v/>
      </c>
      <c r="F27" s="3">
        <f>ABS(#REF!-B27)/B27</f>
        <v/>
      </c>
    </row>
    <row r="28">
      <c r="A28" s="6" t="n">
        <v>46114</v>
      </c>
      <c r="C28" s="7" t="n">
        <v>504.811152567747</v>
      </c>
      <c r="D28" s="9" t="n">
        <v>553.0577286049488</v>
      </c>
      <c r="E28" s="3">
        <f>ABS(C28-B28)/B28</f>
        <v/>
      </c>
      <c r="F28" s="3">
        <f>ABS(#REF!-B28)/B28</f>
        <v/>
      </c>
    </row>
    <row r="29">
      <c r="A29" s="6" t="n">
        <v>46115</v>
      </c>
      <c r="C29" s="7" t="n">
        <v>503.963447103721</v>
      </c>
      <c r="D29" s="9" t="n">
        <v>560.6798655491914</v>
      </c>
      <c r="E29" s="3">
        <f>ABS(C29-B29)/B29</f>
        <v/>
      </c>
      <c r="F29" s="3">
        <f>ABS(#REF!-B29)/B29</f>
        <v/>
      </c>
    </row>
    <row r="30">
      <c r="A30" s="6" t="n">
        <v>46119</v>
      </c>
      <c r="C30" s="7" t="n">
        <v>500.998222427522</v>
      </c>
      <c r="D30" s="9" t="n">
        <v>566.5958581406157</v>
      </c>
      <c r="E30" s="3">
        <f>ABS(C30-B30)/B30</f>
        <v/>
      </c>
      <c r="F30" s="3">
        <f>ABS(#REF!-B30)/B30</f>
        <v/>
      </c>
    </row>
    <row r="31">
      <c r="A31" s="6" t="n">
        <v>46120</v>
      </c>
      <c r="C31" s="7" t="n">
        <v>498.887609625552</v>
      </c>
      <c r="D31" s="9" t="n">
        <v>569.2680382884782</v>
      </c>
      <c r="E31" s="3">
        <f>ABS(C31-B31)/B31</f>
        <v/>
      </c>
      <c r="F31" s="3">
        <f>ABS(#REF!-B31)/B31</f>
        <v/>
      </c>
    </row>
    <row r="32">
      <c r="A32" s="6" t="n">
        <v>46121</v>
      </c>
      <c r="C32" s="7" t="n">
        <v>496.884852136961</v>
      </c>
      <c r="D32" s="9" t="n">
        <v>569.0746662055039</v>
      </c>
      <c r="E32" s="3">
        <f>ABS(C32-B32)/B32</f>
        <v/>
      </c>
      <c r="F32" s="3">
        <f>ABS(#REF!-B32)/B32</f>
        <v/>
      </c>
    </row>
    <row r="33">
      <c r="A33" s="6" t="n">
        <v>46122</v>
      </c>
      <c r="C33" s="7" t="n">
        <v>498.584027912944</v>
      </c>
      <c r="D33" s="9" t="n">
        <v>568.2517092564335</v>
      </c>
      <c r="E33" s="3">
        <f>ABS(C33-B33)/B33</f>
        <v/>
      </c>
      <c r="F33" s="3">
        <f>ABS(#REF!-B33)/B33</f>
        <v/>
      </c>
    </row>
    <row r="34">
      <c r="A34" s="6" t="n">
        <v>46125</v>
      </c>
      <c r="C34" s="7" t="n">
        <v>499.076175938545</v>
      </c>
      <c r="D34" s="9" t="n">
        <v>572.9429245834615</v>
      </c>
      <c r="E34" s="3">
        <f>ABS(C34-B34)/B34</f>
        <v/>
      </c>
      <c r="F34" s="3">
        <f>ABS(#REF!-B34)/B34</f>
        <v/>
      </c>
    </row>
    <row r="35">
      <c r="A35" s="6" t="n">
        <v>46126</v>
      </c>
      <c r="C35" s="7" t="n">
        <v>500.237647058879</v>
      </c>
      <c r="D35" s="9" t="n">
        <v>568.1777834192134</v>
      </c>
      <c r="E35" s="3">
        <f>ABS(C35-B35)/B35</f>
        <v/>
      </c>
      <c r="F35" s="3">
        <f>ABS(#REF!-B35)/B35</f>
        <v/>
      </c>
    </row>
    <row r="36">
      <c r="A36" s="6" t="n">
        <v>46127</v>
      </c>
      <c r="C36" s="7" t="n">
        <v>498.497613195933</v>
      </c>
      <c r="D36" s="9" t="n">
        <v>566.92769907391</v>
      </c>
      <c r="E36" s="3">
        <f>ABS(C36-B36)/B36</f>
        <v/>
      </c>
      <c r="F36" s="3">
        <f>ABS(#REF!-B36)/B36</f>
        <v/>
      </c>
    </row>
    <row r="37">
      <c r="A37" s="6" t="n">
        <v>46128</v>
      </c>
      <c r="C37" s="7" t="n">
        <v>497.919919221754</v>
      </c>
      <c r="D37" s="9" t="n">
        <v>566.5689146570477</v>
      </c>
      <c r="E37" s="3">
        <f>ABS(C37-B37)/B37</f>
        <v/>
      </c>
      <c r="F37" s="3">
        <f>ABS(#REF!-B37)/B37</f>
        <v/>
      </c>
    </row>
    <row r="38">
      <c r="A38" s="6" t="n">
        <v>46129</v>
      </c>
      <c r="C38" s="7" t="n">
        <v>495.638331586321</v>
      </c>
      <c r="D38" s="9" t="n">
        <v>566.7567771807505</v>
      </c>
      <c r="E38" s="3">
        <f>ABS(C38-B38)/B38</f>
        <v/>
      </c>
      <c r="F38" s="3">
        <f>ABS(#REF!-B38)/B38</f>
        <v/>
      </c>
    </row>
    <row r="39">
      <c r="A39" s="6" t="n">
        <v>46132</v>
      </c>
      <c r="C39" s="7" t="n">
        <v>494.045745655733</v>
      </c>
      <c r="D39" s="9" t="n">
        <v>563.4393537634705</v>
      </c>
      <c r="E39" s="3">
        <f>ABS(C39-B39)/B39</f>
        <v/>
      </c>
      <c r="F39" s="3">
        <f>ABS(#REF!-B39)/B39</f>
        <v/>
      </c>
    </row>
    <row r="40">
      <c r="A40" s="6" t="n">
        <v>46133</v>
      </c>
      <c r="C40" s="7" t="n">
        <v>493.240123780045</v>
      </c>
      <c r="D40" s="9" t="n">
        <v>562.2387010180437</v>
      </c>
      <c r="E40" s="3">
        <f>ABS(C40-B40)/B40</f>
        <v/>
      </c>
      <c r="F40" s="3">
        <f>ABS(#REF!-B40)/B40</f>
        <v/>
      </c>
    </row>
    <row r="41">
      <c r="A41" s="6" t="n">
        <v>46134</v>
      </c>
      <c r="C41" s="7" t="n">
        <v>494.604829968996</v>
      </c>
      <c r="D41" s="9" t="n">
        <v>566.3075832324466</v>
      </c>
      <c r="E41" s="3">
        <f>ABS(C41-B41)/B41</f>
        <v/>
      </c>
      <c r="F41" s="3">
        <f>ABS(#REF!-B41)/B41</f>
        <v/>
      </c>
    </row>
    <row r="42">
      <c r="A42" s="6" t="n">
        <v>46135</v>
      </c>
      <c r="C42" s="7" t="n">
        <v>494.150619023343</v>
      </c>
      <c r="D42" s="9" t="n">
        <v>566.0728256812772</v>
      </c>
      <c r="E42" s="3">
        <f>ABS(C42-B42)/B42</f>
        <v/>
      </c>
      <c r="F42" s="3">
        <f>ABS(#REF!-B42)/B42</f>
        <v/>
      </c>
    </row>
    <row r="43">
      <c r="A43" s="6" t="n">
        <v>46136</v>
      </c>
      <c r="C43" s="7" t="n">
        <v>491.830210456971</v>
      </c>
      <c r="D43" s="9" t="n">
        <v>564.5464969195214</v>
      </c>
      <c r="E43" s="3">
        <f>ABS(C43-B43)/B43</f>
        <v/>
      </c>
      <c r="F43" s="3">
        <f>ABS(#REF!-B43)/B43</f>
        <v/>
      </c>
    </row>
    <row r="44">
      <c r="A44" s="6" t="n">
        <v>46139</v>
      </c>
      <c r="C44" s="7" t="n">
        <v>488.956756794737</v>
      </c>
      <c r="D44" s="9" t="n">
        <v>562.7505531279446</v>
      </c>
      <c r="E44" s="3">
        <f>ABS(C44-B44)/B44</f>
        <v/>
      </c>
      <c r="F44" s="3">
        <f>ABS(#REF!-B44)/B44</f>
        <v/>
      </c>
    </row>
    <row r="45">
      <c r="A45" s="6" t="n">
        <v>46140</v>
      </c>
      <c r="C45" s="7" t="n">
        <v>488.700673330837</v>
      </c>
      <c r="D45" s="9" t="n">
        <v>562.1188231635922</v>
      </c>
      <c r="E45" s="3">
        <f>ABS(C45-B45)/B45</f>
        <v/>
      </c>
      <c r="F45" s="3">
        <f>ABS(#REF!-B45)/B45</f>
        <v/>
      </c>
    </row>
    <row r="46">
      <c r="A46" s="6" t="n">
        <v>46141</v>
      </c>
      <c r="C46" s="7" t="n">
        <v>488.654074097175</v>
      </c>
      <c r="D46" s="9" t="n">
        <v>564.1459813232143</v>
      </c>
      <c r="E46" s="3">
        <f>ABS(C46-B46)/B46</f>
        <v/>
      </c>
      <c r="F46" s="3">
        <f>ABS(#REF!-B46)/B46</f>
        <v/>
      </c>
    </row>
    <row r="47">
      <c r="A47" s="6" t="n">
        <v>46142</v>
      </c>
      <c r="C47" s="7" t="n">
        <v>488.05084637768</v>
      </c>
      <c r="D47" s="9" t="n">
        <v>558.8691366810903</v>
      </c>
      <c r="E47" s="3">
        <f>ABS(C47-B47)/B47</f>
        <v/>
      </c>
      <c r="F47" s="3">
        <f>ABS(#REF!-B47)/B47</f>
        <v/>
      </c>
    </row>
    <row r="48">
      <c r="A48" s="6" t="n">
        <v>46148</v>
      </c>
      <c r="C48" s="7" t="n">
        <v>487.571941898252</v>
      </c>
      <c r="D48" s="9" t="n">
        <v>561.1484697446001</v>
      </c>
      <c r="E48" s="3">
        <f>ABS(C48-B48)/B48</f>
        <v/>
      </c>
      <c r="F48" s="3">
        <f>ABS(#REF!-B48)/B48</f>
        <v/>
      </c>
    </row>
    <row r="49">
      <c r="A49" s="6" t="n">
        <v>46149</v>
      </c>
      <c r="C49" s="7" t="n">
        <v>488.52085492373</v>
      </c>
      <c r="D49" s="9" t="n">
        <v>566.5825954491472</v>
      </c>
      <c r="E49" s="3">
        <f>ABS(C49-B49)/B49</f>
        <v/>
      </c>
      <c r="F49" s="3">
        <f>ABS(#REF!-B49)/B49</f>
        <v/>
      </c>
    </row>
    <row r="50">
      <c r="A50" s="6" t="n">
        <v>46150</v>
      </c>
      <c r="C50" s="7" t="n">
        <v>487.311890439132</v>
      </c>
      <c r="D50" s="9" t="n">
        <v>564.9778222071461</v>
      </c>
      <c r="E50" s="3">
        <f>ABS(C50-B50)/B50</f>
        <v/>
      </c>
      <c r="F50" s="3">
        <f>ABS(#REF!-B50)/B50</f>
        <v/>
      </c>
    </row>
    <row r="51">
      <c r="A51" s="6" t="n">
        <v>46151</v>
      </c>
      <c r="C51" s="7" t="n">
        <v>487.143434757026</v>
      </c>
      <c r="D51" s="9" t="n">
        <v>560.6676882438433</v>
      </c>
      <c r="E51" s="3">
        <f>ABS(C51-B51)/B51</f>
        <v/>
      </c>
      <c r="F51" s="3">
        <f>ABS(#REF!-B51)/B51</f>
        <v/>
      </c>
    </row>
    <row r="52">
      <c r="A52" s="6" t="n">
        <v>46153</v>
      </c>
      <c r="C52" s="7" t="n">
        <v>484.221056549992</v>
      </c>
      <c r="D52" s="9" t="n">
        <v>554.4890371901834</v>
      </c>
      <c r="E52" s="3">
        <f>ABS(C52-B52)/B52</f>
        <v/>
      </c>
      <c r="F52" s="3">
        <f>ABS(#REF!-B52)/B52</f>
        <v/>
      </c>
    </row>
    <row r="53">
      <c r="A53" s="6" t="n">
        <v>46154</v>
      </c>
      <c r="C53" s="7" t="n">
        <v>483.096310797688</v>
      </c>
      <c r="D53" s="9" t="n">
        <v>551.8322763052427</v>
      </c>
      <c r="E53" s="3">
        <f>ABS(C53-B53)/B53</f>
        <v/>
      </c>
      <c r="F53" s="3">
        <f>ABS(#REF!-B53)/B53</f>
        <v/>
      </c>
    </row>
    <row r="54">
      <c r="A54" s="6" t="n">
        <v>46155</v>
      </c>
      <c r="C54" s="7" t="n">
        <v>482.720851194768</v>
      </c>
      <c r="D54" s="9" t="n">
        <v>550.6455852504234</v>
      </c>
      <c r="E54" s="3">
        <f>ABS(C54-B54)/B54</f>
        <v/>
      </c>
      <c r="F54" s="3">
        <f>ABS(#REF!-B54)/B54</f>
        <v/>
      </c>
    </row>
    <row r="55">
      <c r="A55" s="6" t="n">
        <v>46156</v>
      </c>
      <c r="C55" s="7" t="n">
        <v>481.305151346921</v>
      </c>
      <c r="D55" s="9" t="n">
        <v>550.0361935364447</v>
      </c>
      <c r="E55" s="3">
        <f>ABS(C55-B55)/B55</f>
        <v/>
      </c>
      <c r="F55" s="3">
        <f>ABS(#REF!-B55)/B55</f>
        <v/>
      </c>
    </row>
    <row r="56">
      <c r="A56" s="6" t="n">
        <v>46157</v>
      </c>
      <c r="C56" s="7" t="n">
        <v>480.078242349858</v>
      </c>
      <c r="D56" s="9" t="n">
        <v>553.7026929024892</v>
      </c>
      <c r="E56" s="3">
        <f>ABS(C56-B56)/B56</f>
        <v/>
      </c>
      <c r="F56" s="3">
        <f>ABS(#REF!-B56)/B56</f>
        <v/>
      </c>
    </row>
    <row r="57">
      <c r="A57" s="6" t="n">
        <v>46160</v>
      </c>
      <c r="C57" s="7" t="n">
        <v>479.779783328403</v>
      </c>
      <c r="D57" s="9" t="n">
        <v>557.9450610964877</v>
      </c>
      <c r="E57" s="3">
        <f>ABS(C57-B57)/B57</f>
        <v/>
      </c>
      <c r="F57" s="3">
        <f>ABS(#REF!-B57)/B57</f>
        <v/>
      </c>
    </row>
    <row r="58">
      <c r="A58" s="6" t="n">
        <v>46161</v>
      </c>
      <c r="C58" s="7" t="n">
        <v>478.325235184227</v>
      </c>
      <c r="D58" s="9" t="n">
        <v>562.3236017695253</v>
      </c>
      <c r="E58" s="3">
        <f>ABS(C58-B58)/B58</f>
        <v/>
      </c>
      <c r="F58" s="3">
        <f>ABS(#REF!-B58)/B58</f>
        <v/>
      </c>
    </row>
    <row r="59">
      <c r="A59" s="6" t="n">
        <v>46162</v>
      </c>
      <c r="C59" s="7" t="n">
        <v>476.583865571073</v>
      </c>
      <c r="D59" s="9" t="n">
        <v>563.1239598534612</v>
      </c>
      <c r="E59" s="3">
        <f>ABS(C59-B59)/B59</f>
        <v/>
      </c>
      <c r="F59" s="3">
        <f>ABS(#REF!-B59)/B59</f>
        <v/>
      </c>
    </row>
    <row r="60">
      <c r="A60" s="6" t="n">
        <v>46163</v>
      </c>
      <c r="C60" s="7" t="n">
        <v>474.555674488943</v>
      </c>
      <c r="D60" s="9" t="n">
        <v>560.7999663516803</v>
      </c>
      <c r="E60" s="3">
        <f>ABS(C60-B60)/B60</f>
        <v/>
      </c>
      <c r="F60" s="3">
        <f>ABS(#REF!-B60)/B60</f>
        <v/>
      </c>
    </row>
    <row r="61">
      <c r="A61" s="6" t="n">
        <v>46164</v>
      </c>
      <c r="C61" s="7" t="n">
        <v>472.240661937836</v>
      </c>
      <c r="D61" s="9" t="n">
        <v>561.078848434565</v>
      </c>
      <c r="E61" s="3">
        <f>ABS(C61-B61)/B61</f>
        <v/>
      </c>
      <c r="F61" s="3">
        <f>ABS(#REF!-B61)/B61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吕泓畅</dc:creator>
  <dcterms:created xsi:type="dcterms:W3CDTF">2026-03-25T02:49:00Z</dcterms:created>
  <dcterms:modified xsi:type="dcterms:W3CDTF">2026-03-26T10:55:54Z</dcterms:modified>
  <cp:lastModifiedBy>畅行天下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D0FDBA6D3D514AA8AC6373C7313638A4_12</vt:lpwstr>
  </property>
  <property name="KSOProductBuildVer" fmtid="{D5CDD505-2E9C-101B-9397-08002B2CF9AE}" pid="3">
    <vt:lpwstr>2052-12.1.0.21541</vt:lpwstr>
  </property>
</Properties>
</file>